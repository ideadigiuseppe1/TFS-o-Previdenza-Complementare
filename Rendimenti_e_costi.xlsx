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225188\Downloads\"/>
    </mc:Choice>
  </mc:AlternateContent>
  <xr:revisionPtr revIDLastSave="0" documentId="13_ncr:1_{022769CE-88D6-413F-94AF-B306DBCF3C7F}" xr6:coauthVersionLast="47" xr6:coauthVersionMax="47" xr10:uidLastSave="{00000000-0000-0000-0000-000000000000}"/>
  <bookViews>
    <workbookView xWindow="28680" yWindow="-120" windowWidth="29040" windowHeight="15720" firstSheet="1" activeTab="6" xr2:uid="{1F309758-7A27-41A2-9033-152F7344A3D7}"/>
  </bookViews>
  <sheets>
    <sheet name="Costi di Gestione" sheetId="1" r:id="rId1"/>
    <sheet name="Benchmark Azionario" sheetId="2" r:id="rId2"/>
    <sheet name="Benchmark Obbligazionario" sheetId="3" r:id="rId3"/>
    <sheet name="Bilanciato Prudente" sheetId="4" r:id="rId4"/>
    <sheet name="Bilanciato Crescita" sheetId="5" r:id="rId5"/>
    <sheet name="Bilanciato Dinamico" sheetId="6" r:id="rId6"/>
    <sheet name="Tabella rendimenti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" i="3" l="1"/>
  <c r="E7" i="3"/>
  <c r="F7" i="3"/>
  <c r="G7" i="3"/>
  <c r="H7" i="3"/>
  <c r="I7" i="3"/>
  <c r="J7" i="3"/>
  <c r="K7" i="3"/>
  <c r="L7" i="3"/>
  <c r="M7" i="3"/>
  <c r="N7" i="3"/>
  <c r="O7" i="3"/>
  <c r="C7" i="3"/>
  <c r="O3" i="7"/>
  <c r="O4" i="7"/>
  <c r="O5" i="7"/>
  <c r="O6" i="7"/>
  <c r="O2" i="7"/>
  <c r="C4" i="6"/>
  <c r="D4" i="6"/>
  <c r="E4" i="6"/>
  <c r="F4" i="6"/>
  <c r="G4" i="6"/>
  <c r="H4" i="6"/>
  <c r="I4" i="6"/>
  <c r="J4" i="6"/>
  <c r="K4" i="6"/>
  <c r="L4" i="6"/>
  <c r="M4" i="6"/>
  <c r="N4" i="6"/>
  <c r="B4" i="6"/>
  <c r="C4" i="5"/>
  <c r="D4" i="5"/>
  <c r="E4" i="5"/>
  <c r="F4" i="5"/>
  <c r="G4" i="5"/>
  <c r="H4" i="5"/>
  <c r="I4" i="5"/>
  <c r="J4" i="5"/>
  <c r="K4" i="5"/>
  <c r="L4" i="5"/>
  <c r="M4" i="5"/>
  <c r="N4" i="5"/>
  <c r="B4" i="5"/>
  <c r="C4" i="4"/>
  <c r="D4" i="4"/>
  <c r="E4" i="4"/>
  <c r="F4" i="4"/>
  <c r="G4" i="4"/>
  <c r="H4" i="4"/>
  <c r="I4" i="4"/>
  <c r="J4" i="4"/>
  <c r="K4" i="4"/>
  <c r="L4" i="4"/>
  <c r="M4" i="4"/>
  <c r="N4" i="4"/>
  <c r="B4" i="4"/>
  <c r="B5" i="2"/>
  <c r="C5" i="2"/>
  <c r="D5" i="2"/>
  <c r="E5" i="2"/>
  <c r="F5" i="2"/>
  <c r="G5" i="2"/>
  <c r="H5" i="2"/>
  <c r="I5" i="2"/>
  <c r="J5" i="2"/>
  <c r="K5" i="2"/>
  <c r="L5" i="2"/>
  <c r="N5" i="2"/>
  <c r="O5" i="2"/>
  <c r="M5" i="2"/>
  <c r="D6" i="3"/>
  <c r="E6" i="3"/>
  <c r="F6" i="3"/>
  <c r="G6" i="3"/>
  <c r="H6" i="3"/>
  <c r="I6" i="3"/>
  <c r="J6" i="3"/>
  <c r="K6" i="3"/>
  <c r="L6" i="3"/>
  <c r="M6" i="3"/>
  <c r="N6" i="3"/>
  <c r="O6" i="3"/>
  <c r="C6" i="3"/>
  <c r="C4" i="2"/>
  <c r="D4" i="2"/>
  <c r="E4" i="2"/>
  <c r="F4" i="2"/>
  <c r="G4" i="2"/>
  <c r="H4" i="2"/>
  <c r="I4" i="2"/>
  <c r="J4" i="2"/>
  <c r="K4" i="2"/>
  <c r="L4" i="2"/>
  <c r="M4" i="2"/>
  <c r="N4" i="2"/>
  <c r="O4" i="2"/>
  <c r="B4" i="2"/>
  <c r="G6" i="1"/>
  <c r="H6" i="1"/>
  <c r="F6" i="1"/>
  <c r="I4" i="1"/>
  <c r="I5" i="1"/>
  <c r="I6" i="1"/>
  <c r="G5" i="1"/>
  <c r="H5" i="1"/>
  <c r="F5" i="1"/>
  <c r="G4" i="1"/>
  <c r="H4" i="1"/>
  <c r="F4" i="1"/>
  <c r="I2" i="1"/>
  <c r="I3" i="1"/>
</calcChain>
</file>

<file path=xl/sharedStrings.xml><?xml version="1.0" encoding="utf-8"?>
<sst xmlns="http://schemas.openxmlformats.org/spreadsheetml/2006/main" count="53" uniqueCount="35">
  <si>
    <t>AZIONARIO</t>
  </si>
  <si>
    <t>OBBLIGAZIONARIO</t>
  </si>
  <si>
    <t>Comparto</t>
  </si>
  <si>
    <t>ISC a 2 anni</t>
  </si>
  <si>
    <t>ISC a 5 anni</t>
  </si>
  <si>
    <t>ISC a 10 anni</t>
  </si>
  <si>
    <t>ISC a 35 anni</t>
  </si>
  <si>
    <t>BILANCIATO PRUDENTE (30-70)</t>
  </si>
  <si>
    <t>BILANCIATO CRESCITA (50-50)</t>
  </si>
  <si>
    <t>BILANCIATO DINAMICO (70-30)</t>
  </si>
  <si>
    <t>TER MEDIO 2023-2025</t>
  </si>
  <si>
    <t>TER 2024</t>
  </si>
  <si>
    <t>TER 2025</t>
  </si>
  <si>
    <t>TER 2023</t>
  </si>
  <si>
    <t>//</t>
  </si>
  <si>
    <t>MSCI World Index (EUR)</t>
  </si>
  <si>
    <t>MSCI World 100% Hedged to EUR Index</t>
  </si>
  <si>
    <t>Rendimento normalizzato</t>
  </si>
  <si>
    <t>Rendimento reale (da Nota Informativa)</t>
  </si>
  <si>
    <t>BofA US treasury TR € hdg</t>
  </si>
  <si>
    <t>BofA Pan-Europe Govt TR € hdg</t>
  </si>
  <si>
    <t>BofA 1-10y Global infl lkd Govt ex.JAP TR € unhdg</t>
  </si>
  <si>
    <t>BofA Global Corporate TR € hdg</t>
  </si>
  <si>
    <t>Rendimento teorico ponderato</t>
  </si>
  <si>
    <t>Rendimento normalizzato AZIONARIO</t>
  </si>
  <si>
    <t>Rendimento normalizzato OBBLIGAZIONARIO</t>
  </si>
  <si>
    <t>Rendimento sintetico Bilanciato Prudente</t>
  </si>
  <si>
    <t>Rendimento sintetico Bilanciato Crescita</t>
  </si>
  <si>
    <t>Rendimento sintetico Bilanciato Dinamico</t>
  </si>
  <si>
    <t>Azionario</t>
  </si>
  <si>
    <t>Obbligazionario</t>
  </si>
  <si>
    <t>Bilanciato Prudente</t>
  </si>
  <si>
    <t>Bilanciato Crescita</t>
  </si>
  <si>
    <t>Bilanciato Dinamico</t>
  </si>
  <si>
    <t>Rendimento 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</si>
</sst>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Fill="1"/>
    <xf numFmtId="0" fontId="4" fillId="0" borderId="0" xfId="0" applyFont="1" applyFill="1" applyBorder="1" applyAlignment="1">
      <alignment horizontal="left" wrapText="1"/>
    </xf>
    <xf numFmtId="0" fontId="3" fillId="0" borderId="0" xfId="0" applyFont="1" applyFill="1" applyBorder="1"/>
    <xf numFmtId="2" fontId="3" fillId="0" borderId="0" xfId="0" applyNumberFormat="1" applyFont="1" applyFill="1" applyAlignment="1">
      <alignment horizontal="center" vertical="center"/>
    </xf>
    <xf numFmtId="2" fontId="0" fillId="0" borderId="0" xfId="0" applyNumberFormat="1"/>
    <xf numFmtId="0" fontId="2" fillId="0" borderId="0" xfId="0" applyFont="1"/>
    <xf numFmtId="2" fontId="2" fillId="0" borderId="0" xfId="0" applyNumberFormat="1" applyFont="1"/>
    <xf numFmtId="0" fontId="1" fillId="0" borderId="0" xfId="0" applyFont="1"/>
    <xf numFmtId="0" fontId="0" fillId="0" borderId="0" xfId="0" applyFill="1"/>
    <xf numFmtId="2" fontId="0" fillId="0" borderId="0" xfId="0" applyNumberFormat="1" applyFill="1"/>
    <xf numFmtId="0" fontId="3" fillId="0" borderId="0" xfId="0" applyFont="1" applyFill="1" applyBorder="1" applyAlignment="1">
      <alignment vertical="top" wrapText="1"/>
    </xf>
    <xf numFmtId="2" fontId="2" fillId="0" borderId="0" xfId="0" applyNumberFormat="1" applyFont="1" applyAlignment="1">
      <alignment horizontal="center"/>
    </xf>
    <xf numFmtId="0" fontId="0" fillId="0" borderId="0" xfId="0" applyFont="1"/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95424-BBEF-40DA-B94A-93207CA4F2E0}">
  <sheetPr codeName="Foglio1"/>
  <dimension ref="A1:I6"/>
  <sheetViews>
    <sheetView workbookViewId="0">
      <selection activeCell="G22" sqref="G22"/>
    </sheetView>
  </sheetViews>
  <sheetFormatPr defaultRowHeight="14.25" x14ac:dyDescent="0.2"/>
  <cols>
    <col min="1" max="1" width="33.140625" style="3" bestFit="1" customWidth="1"/>
    <col min="2" max="3" width="14.28515625" style="3" bestFit="1" customWidth="1"/>
    <col min="4" max="5" width="10.140625" style="3" bestFit="1" customWidth="1"/>
    <col min="6" max="8" width="10.42578125" style="1" bestFit="1" customWidth="1"/>
    <col min="9" max="9" width="23.42578125" style="1" bestFit="1" customWidth="1"/>
    <col min="10" max="16384" width="9.140625" style="1"/>
  </cols>
  <sheetData>
    <row r="1" spans="1:9" ht="28.5" x14ac:dyDescent="0.2">
      <c r="A1" s="2" t="s">
        <v>2</v>
      </c>
      <c r="B1" s="14" t="s">
        <v>3</v>
      </c>
      <c r="C1" s="14" t="s">
        <v>4</v>
      </c>
      <c r="D1" s="14" t="s">
        <v>5</v>
      </c>
      <c r="E1" s="14" t="s">
        <v>6</v>
      </c>
      <c r="F1" s="15" t="s">
        <v>13</v>
      </c>
      <c r="G1" s="15" t="s">
        <v>11</v>
      </c>
      <c r="H1" s="15" t="s">
        <v>12</v>
      </c>
      <c r="I1" s="15" t="s">
        <v>10</v>
      </c>
    </row>
    <row r="2" spans="1:9" x14ac:dyDescent="0.2">
      <c r="A2" s="11" t="s">
        <v>0</v>
      </c>
      <c r="B2" s="14">
        <v>0.57999999999999996</v>
      </c>
      <c r="C2" s="14">
        <v>0.39</v>
      </c>
      <c r="D2" s="14">
        <v>0.31</v>
      </c>
      <c r="E2" s="14">
        <v>0.24</v>
      </c>
      <c r="F2" s="15">
        <v>0.43</v>
      </c>
      <c r="G2" s="15">
        <v>0.34</v>
      </c>
      <c r="H2" s="15">
        <v>0.38</v>
      </c>
      <c r="I2" s="4">
        <f>AVERAGE(F2:H2)</f>
        <v>0.3833333333333333</v>
      </c>
    </row>
    <row r="3" spans="1:9" x14ac:dyDescent="0.2">
      <c r="A3" s="11" t="s">
        <v>1</v>
      </c>
      <c r="B3" s="14">
        <v>0.53</v>
      </c>
      <c r="C3" s="14">
        <v>0.35</v>
      </c>
      <c r="D3" s="14">
        <v>0.27</v>
      </c>
      <c r="E3" s="14">
        <v>0.2</v>
      </c>
      <c r="F3" s="15">
        <v>0.39</v>
      </c>
      <c r="G3" s="15">
        <v>0.43</v>
      </c>
      <c r="H3" s="15">
        <v>0.39</v>
      </c>
      <c r="I3" s="4">
        <f>AVERAGE(F3:H3)</f>
        <v>0.40333333333333332</v>
      </c>
    </row>
    <row r="4" spans="1:9" x14ac:dyDescent="0.2">
      <c r="A4" s="3" t="s">
        <v>7</v>
      </c>
      <c r="B4" s="16" t="s">
        <v>14</v>
      </c>
      <c r="C4" s="16" t="s">
        <v>14</v>
      </c>
      <c r="D4" s="16" t="s">
        <v>14</v>
      </c>
      <c r="E4" s="16" t="s">
        <v>14</v>
      </c>
      <c r="F4" s="4">
        <f>(F3*0.7)+(F2*0.3)</f>
        <v>0.40199999999999997</v>
      </c>
      <c r="G4" s="4">
        <f t="shared" ref="G4:H4" si="0">(G3*0.7)+(G2*0.3)</f>
        <v>0.40300000000000002</v>
      </c>
      <c r="H4" s="4">
        <f t="shared" si="0"/>
        <v>0.38699999999999996</v>
      </c>
      <c r="I4" s="4">
        <f t="shared" ref="I4:I6" si="1">AVERAGE(F4:H4)</f>
        <v>0.39733333333333332</v>
      </c>
    </row>
    <row r="5" spans="1:9" x14ac:dyDescent="0.2">
      <c r="A5" s="3" t="s">
        <v>8</v>
      </c>
      <c r="B5" s="16" t="s">
        <v>14</v>
      </c>
      <c r="C5" s="16" t="s">
        <v>14</v>
      </c>
      <c r="D5" s="16" t="s">
        <v>14</v>
      </c>
      <c r="E5" s="16" t="s">
        <v>14</v>
      </c>
      <c r="F5" s="4">
        <f>(F3*0.5)+(F2*0.5)</f>
        <v>0.41000000000000003</v>
      </c>
      <c r="G5" s="4">
        <f t="shared" ref="G5:H5" si="2">(G3*0.5)+(G2*0.5)</f>
        <v>0.38500000000000001</v>
      </c>
      <c r="H5" s="4">
        <f t="shared" si="2"/>
        <v>0.38500000000000001</v>
      </c>
      <c r="I5" s="4">
        <f t="shared" si="1"/>
        <v>0.39333333333333337</v>
      </c>
    </row>
    <row r="6" spans="1:9" x14ac:dyDescent="0.2">
      <c r="A6" s="3" t="s">
        <v>9</v>
      </c>
      <c r="B6" s="16" t="s">
        <v>14</v>
      </c>
      <c r="C6" s="16" t="s">
        <v>14</v>
      </c>
      <c r="D6" s="16" t="s">
        <v>14</v>
      </c>
      <c r="E6" s="16" t="s">
        <v>14</v>
      </c>
      <c r="F6" s="4">
        <f>(F3*0.3)+(F2*0.7)</f>
        <v>0.41799999999999998</v>
      </c>
      <c r="G6" s="4">
        <f t="shared" ref="G6:H6" si="3">(G3*0.3)+(G2*0.7)</f>
        <v>0.36699999999999999</v>
      </c>
      <c r="H6" s="4">
        <f t="shared" si="3"/>
        <v>0.38299999999999995</v>
      </c>
      <c r="I6" s="4">
        <f t="shared" si="1"/>
        <v>0.38933333333333331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5475D-7BA6-4091-A740-EA16D5CBAEC1}">
  <dimension ref="A1:O7"/>
  <sheetViews>
    <sheetView workbookViewId="0">
      <selection activeCell="C5" sqref="C5:O5"/>
    </sheetView>
  </sheetViews>
  <sheetFormatPr defaultRowHeight="15" x14ac:dyDescent="0.25"/>
  <cols>
    <col min="1" max="1" width="35" bestFit="1" customWidth="1"/>
  </cols>
  <sheetData>
    <row r="1" spans="1:15" x14ac:dyDescent="0.25">
      <c r="B1">
        <v>2012</v>
      </c>
      <c r="C1">
        <v>2013</v>
      </c>
      <c r="D1">
        <v>2014</v>
      </c>
      <c r="E1">
        <v>2015</v>
      </c>
      <c r="F1">
        <v>2016</v>
      </c>
      <c r="G1">
        <v>2017</v>
      </c>
      <c r="H1">
        <v>2018</v>
      </c>
      <c r="I1">
        <v>2019</v>
      </c>
      <c r="J1">
        <v>2020</v>
      </c>
      <c r="K1">
        <v>2021</v>
      </c>
      <c r="L1">
        <v>2022</v>
      </c>
      <c r="M1">
        <v>2023</v>
      </c>
      <c r="N1">
        <v>2024</v>
      </c>
      <c r="O1">
        <v>2025</v>
      </c>
    </row>
    <row r="2" spans="1:15" x14ac:dyDescent="0.25">
      <c r="A2" t="s">
        <v>15</v>
      </c>
      <c r="B2" s="5">
        <v>14.05</v>
      </c>
      <c r="C2" s="5">
        <v>21.2</v>
      </c>
      <c r="D2" s="5">
        <v>19.5</v>
      </c>
      <c r="E2" s="5">
        <v>10.42</v>
      </c>
      <c r="F2" s="5">
        <v>10.73</v>
      </c>
      <c r="G2" s="5">
        <v>7.51</v>
      </c>
      <c r="H2" s="5">
        <v>-4.1100000000000003</v>
      </c>
      <c r="I2" s="5">
        <v>30.02</v>
      </c>
      <c r="J2" s="5">
        <v>6.33</v>
      </c>
      <c r="K2" s="5">
        <v>31.07</v>
      </c>
      <c r="L2" s="5">
        <v>-12.78</v>
      </c>
      <c r="M2" s="5">
        <v>19.600000000000001</v>
      </c>
      <c r="N2" s="5">
        <v>26.6</v>
      </c>
      <c r="O2" s="5">
        <v>6.77</v>
      </c>
    </row>
    <row r="3" spans="1:15" x14ac:dyDescent="0.25">
      <c r="A3" t="s">
        <v>16</v>
      </c>
      <c r="B3" s="5">
        <v>12</v>
      </c>
      <c r="C3" s="5">
        <v>25.47</v>
      </c>
      <c r="D3" s="5">
        <v>7.37</v>
      </c>
      <c r="E3" s="5">
        <v>-0.19</v>
      </c>
      <c r="F3" s="5">
        <v>5.59</v>
      </c>
      <c r="G3" s="5">
        <v>16.63</v>
      </c>
      <c r="H3" s="5">
        <v>-11.11</v>
      </c>
      <c r="I3" s="5">
        <v>22.15</v>
      </c>
      <c r="J3" s="5">
        <v>10.09</v>
      </c>
      <c r="K3" s="5">
        <v>21.55</v>
      </c>
      <c r="L3" s="5">
        <v>-19.2</v>
      </c>
      <c r="M3" s="5">
        <v>18.98</v>
      </c>
      <c r="N3" s="5">
        <v>18.2</v>
      </c>
      <c r="O3" s="5">
        <v>15.2</v>
      </c>
    </row>
    <row r="4" spans="1:15" x14ac:dyDescent="0.25">
      <c r="A4" s="9" t="s">
        <v>23</v>
      </c>
      <c r="B4" s="5">
        <f>(B2*0.3)+(B3*0.7)</f>
        <v>12.614999999999998</v>
      </c>
      <c r="C4" s="5">
        <f t="shared" ref="C4:O4" si="0">(C2*0.3)+(C3*0.7)</f>
        <v>24.188999999999997</v>
      </c>
      <c r="D4" s="5">
        <f t="shared" si="0"/>
        <v>11.009</v>
      </c>
      <c r="E4" s="5">
        <f t="shared" si="0"/>
        <v>2.9929999999999999</v>
      </c>
      <c r="F4" s="5">
        <f t="shared" si="0"/>
        <v>7.1319999999999997</v>
      </c>
      <c r="G4" s="5">
        <f t="shared" si="0"/>
        <v>13.893999999999998</v>
      </c>
      <c r="H4" s="5">
        <f t="shared" si="0"/>
        <v>-9.01</v>
      </c>
      <c r="I4" s="5">
        <f t="shared" si="0"/>
        <v>24.510999999999996</v>
      </c>
      <c r="J4" s="5">
        <f t="shared" si="0"/>
        <v>8.9619999999999997</v>
      </c>
      <c r="K4" s="5">
        <f t="shared" si="0"/>
        <v>24.405999999999999</v>
      </c>
      <c r="L4" s="5">
        <f t="shared" si="0"/>
        <v>-17.274000000000001</v>
      </c>
      <c r="M4" s="5">
        <f t="shared" si="0"/>
        <v>19.166</v>
      </c>
      <c r="N4" s="5">
        <f t="shared" si="0"/>
        <v>20.72</v>
      </c>
      <c r="O4" s="5">
        <f t="shared" si="0"/>
        <v>12.670999999999999</v>
      </c>
    </row>
    <row r="5" spans="1:15" x14ac:dyDescent="0.25">
      <c r="A5" s="6" t="s">
        <v>17</v>
      </c>
      <c r="B5" s="7">
        <f>('Benchmark Azionario'!B4-0.38)*(1-0.2)-3.5</f>
        <v>6.2879999999999985</v>
      </c>
      <c r="C5" s="7">
        <f>('Benchmark Azionario'!C4-0.38)*(1-0.2)-3.5</f>
        <v>15.5472</v>
      </c>
      <c r="D5" s="7">
        <f>('Benchmark Azionario'!D4-0.38)*(1-0.2)-3.5</f>
        <v>5.0031999999999996</v>
      </c>
      <c r="E5" s="7">
        <f>('Benchmark Azionario'!E4-0.38)*(1-0.2)-3.5</f>
        <v>-1.4095999999999997</v>
      </c>
      <c r="F5" s="7">
        <f>('Benchmark Azionario'!F4-0.38)*(1-0.2)-3.5</f>
        <v>1.9016000000000002</v>
      </c>
      <c r="G5" s="7">
        <f>('Benchmark Azionario'!G4-0.38)*(1-0.2)-3.5</f>
        <v>7.3111999999999995</v>
      </c>
      <c r="H5" s="7">
        <f>('Benchmark Azionario'!H4-0.38)*(1-0.2)-3.5</f>
        <v>-11.012</v>
      </c>
      <c r="I5" s="7">
        <f>('Benchmark Azionario'!I4-0.38)*(1-0.2)-3.5</f>
        <v>15.8048</v>
      </c>
      <c r="J5" s="7">
        <f>('Benchmark Azionario'!J4-0.38)*(1-0.2)-3.5</f>
        <v>3.3655999999999997</v>
      </c>
      <c r="K5" s="7">
        <f>('Benchmark Azionario'!K4-0.38)*(1-0.2)-3.5</f>
        <v>15.720800000000001</v>
      </c>
      <c r="L5" s="7">
        <f>('Benchmark Azionario'!L4-0.38)*(1-0.2)-3.5</f>
        <v>-17.623200000000001</v>
      </c>
      <c r="M5" s="7">
        <f>('Benchmark Azionario'!M4-0.38)*(1-0.2)-3.5</f>
        <v>11.528800000000002</v>
      </c>
      <c r="N5" s="7">
        <f>('Benchmark Azionario'!N4-0.38)*(1-0.2)-3.5</f>
        <v>12.772000000000002</v>
      </c>
      <c r="O5" s="7">
        <f>('Benchmark Azionario'!O4-0.38)*(1-0.2)-3.5</f>
        <v>6.3327999999999989</v>
      </c>
    </row>
    <row r="6" spans="1:15" x14ac:dyDescent="0.25">
      <c r="A6" t="s">
        <v>18</v>
      </c>
      <c r="M6" s="5">
        <v>2.98</v>
      </c>
      <c r="N6" s="5">
        <v>12.26</v>
      </c>
      <c r="O6" s="5">
        <v>6.29</v>
      </c>
    </row>
    <row r="7" spans="1:15" x14ac:dyDescent="0.25">
      <c r="N7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BF80F-6386-49CC-AF6F-41555C04F9A9}">
  <dimension ref="A1:O8"/>
  <sheetViews>
    <sheetView workbookViewId="0">
      <selection activeCell="C7" sqref="C7:O7"/>
    </sheetView>
  </sheetViews>
  <sheetFormatPr defaultRowHeight="15" x14ac:dyDescent="0.25"/>
  <cols>
    <col min="1" max="1" width="44" bestFit="1" customWidth="1"/>
  </cols>
  <sheetData>
    <row r="1" spans="1:15" x14ac:dyDescent="0.25">
      <c r="B1">
        <v>2012</v>
      </c>
      <c r="C1">
        <v>2013</v>
      </c>
      <c r="D1">
        <v>2014</v>
      </c>
      <c r="E1">
        <v>2015</v>
      </c>
      <c r="F1">
        <v>2016</v>
      </c>
      <c r="G1">
        <v>2017</v>
      </c>
      <c r="H1">
        <v>2018</v>
      </c>
      <c r="I1">
        <v>2019</v>
      </c>
      <c r="J1">
        <v>2020</v>
      </c>
      <c r="K1">
        <v>2021</v>
      </c>
      <c r="L1">
        <v>2022</v>
      </c>
      <c r="M1">
        <v>2023</v>
      </c>
      <c r="N1">
        <v>2024</v>
      </c>
      <c r="O1">
        <v>2025</v>
      </c>
    </row>
    <row r="2" spans="1:15" x14ac:dyDescent="0.25">
      <c r="A2" t="s">
        <v>20</v>
      </c>
      <c r="B2" s="5"/>
      <c r="C2" s="5">
        <v>2.2000000000000002</v>
      </c>
      <c r="D2" s="5">
        <v>13.3</v>
      </c>
      <c r="E2" s="5">
        <v>1.6</v>
      </c>
      <c r="F2" s="5">
        <v>3</v>
      </c>
      <c r="G2" s="5">
        <v>0</v>
      </c>
      <c r="H2" s="5">
        <v>0.68</v>
      </c>
      <c r="I2" s="5">
        <v>6.89</v>
      </c>
      <c r="J2" s="5">
        <v>5.19</v>
      </c>
      <c r="K2" s="5">
        <v>-3.69</v>
      </c>
      <c r="L2" s="5">
        <v>-17.89</v>
      </c>
      <c r="M2" s="5">
        <v>6.78</v>
      </c>
      <c r="N2" s="5">
        <v>1.98</v>
      </c>
      <c r="O2" s="5">
        <v>0.62</v>
      </c>
    </row>
    <row r="3" spans="1:15" x14ac:dyDescent="0.25">
      <c r="A3" t="s">
        <v>19</v>
      </c>
      <c r="B3" s="5"/>
      <c r="C3" s="5">
        <v>-4</v>
      </c>
      <c r="D3" s="5">
        <v>14.3</v>
      </c>
      <c r="E3" s="5">
        <v>12.1</v>
      </c>
      <c r="F3" s="5">
        <v>4.2</v>
      </c>
      <c r="G3" s="5">
        <v>-11.7</v>
      </c>
      <c r="H3" s="5">
        <v>6.4</v>
      </c>
      <c r="I3" s="5">
        <v>5.6</v>
      </c>
      <c r="J3" s="5">
        <v>-5.6</v>
      </c>
      <c r="K3" s="5">
        <v>7.7</v>
      </c>
      <c r="L3" s="5">
        <v>2.2000000000000002</v>
      </c>
      <c r="M3" s="5">
        <v>0.6</v>
      </c>
      <c r="N3" s="5">
        <v>10.7</v>
      </c>
      <c r="O3" s="5">
        <v>-7</v>
      </c>
    </row>
    <row r="4" spans="1:15" x14ac:dyDescent="0.25">
      <c r="A4" t="s">
        <v>21</v>
      </c>
      <c r="B4" s="5"/>
      <c r="C4" s="5">
        <v>-8.98</v>
      </c>
      <c r="D4" s="5">
        <v>18.149999999999999</v>
      </c>
      <c r="E4" s="5">
        <v>6.3</v>
      </c>
      <c r="F4" s="5">
        <v>7.14</v>
      </c>
      <c r="G4" s="5">
        <v>-4.68</v>
      </c>
      <c r="H4" s="5">
        <v>0.77</v>
      </c>
      <c r="I4" s="5">
        <v>10.199999999999999</v>
      </c>
      <c r="J4" s="5">
        <v>3.24</v>
      </c>
      <c r="K4" s="5">
        <v>10.95</v>
      </c>
      <c r="L4" s="5">
        <v>-16.73</v>
      </c>
      <c r="M4" s="5">
        <v>1.9</v>
      </c>
      <c r="N4" s="5">
        <v>3.37</v>
      </c>
      <c r="O4" s="5">
        <v>-4.07</v>
      </c>
    </row>
    <row r="5" spans="1:15" x14ac:dyDescent="0.25">
      <c r="A5" t="s">
        <v>22</v>
      </c>
      <c r="B5" s="5"/>
      <c r="C5" s="5">
        <v>0.3</v>
      </c>
      <c r="D5" s="5">
        <v>3.1</v>
      </c>
      <c r="E5" s="5">
        <v>-3.6</v>
      </c>
      <c r="F5" s="5">
        <v>4.3</v>
      </c>
      <c r="G5" s="5">
        <v>9.1</v>
      </c>
      <c r="H5" s="5">
        <v>-3.6</v>
      </c>
      <c r="I5" s="5">
        <v>11.5</v>
      </c>
      <c r="J5" s="5">
        <v>10.4</v>
      </c>
      <c r="K5" s="5">
        <v>-2.9</v>
      </c>
      <c r="L5" s="5">
        <v>-16.7</v>
      </c>
      <c r="M5" s="5">
        <v>9.6</v>
      </c>
      <c r="N5" s="5">
        <v>1.1000000000000001</v>
      </c>
      <c r="O5" s="5">
        <v>10.3</v>
      </c>
    </row>
    <row r="6" spans="1:15" s="9" customFormat="1" x14ac:dyDescent="0.25">
      <c r="A6" s="9" t="s">
        <v>23</v>
      </c>
      <c r="B6" s="10"/>
      <c r="C6" s="10">
        <f>(C2*0.35)+(C3*0.25)+(C4*0.1)+(C5*0.3)</f>
        <v>-1.038</v>
      </c>
      <c r="D6" s="10">
        <f t="shared" ref="D6:O6" si="0">(D2*0.35)+(D3*0.25)+(D4*0.1)+(D5*0.3)</f>
        <v>10.975</v>
      </c>
      <c r="E6" s="10">
        <f t="shared" si="0"/>
        <v>3.1349999999999998</v>
      </c>
      <c r="F6" s="10">
        <f t="shared" si="0"/>
        <v>4.1039999999999992</v>
      </c>
      <c r="G6" s="10">
        <f t="shared" si="0"/>
        <v>-0.66299999999999981</v>
      </c>
      <c r="H6" s="10">
        <f t="shared" si="0"/>
        <v>0.83499999999999996</v>
      </c>
      <c r="I6" s="10">
        <f t="shared" si="0"/>
        <v>8.2814999999999994</v>
      </c>
      <c r="J6" s="10">
        <f t="shared" si="0"/>
        <v>3.8605</v>
      </c>
      <c r="K6" s="10">
        <f t="shared" si="0"/>
        <v>0.85850000000000015</v>
      </c>
      <c r="L6" s="10">
        <f t="shared" si="0"/>
        <v>-12.394500000000001</v>
      </c>
      <c r="M6" s="10">
        <f t="shared" si="0"/>
        <v>5.593</v>
      </c>
      <c r="N6" s="10">
        <f t="shared" si="0"/>
        <v>4.0350000000000001</v>
      </c>
      <c r="O6" s="10">
        <f t="shared" si="0"/>
        <v>1.1500000000000004</v>
      </c>
    </row>
    <row r="7" spans="1:15" x14ac:dyDescent="0.25">
      <c r="A7" s="6" t="s">
        <v>17</v>
      </c>
      <c r="B7" s="7"/>
      <c r="C7" s="7">
        <f>('Benchmark Obbligazionario'!C6)*(1-0.2)-0.6</f>
        <v>-1.4304000000000001</v>
      </c>
      <c r="D7" s="7">
        <f>('Benchmark Obbligazionario'!D6)*(1-0.2)-0.6</f>
        <v>8.18</v>
      </c>
      <c r="E7" s="7">
        <f>('Benchmark Obbligazionario'!E6)*(1-0.2)-0.6</f>
        <v>1.9079999999999999</v>
      </c>
      <c r="F7" s="7">
        <f>('Benchmark Obbligazionario'!F6)*(1-0.2)-0.6</f>
        <v>2.6831999999999994</v>
      </c>
      <c r="G7" s="7">
        <f>('Benchmark Obbligazionario'!G6)*(1-0.2)-0.6</f>
        <v>-1.1303999999999998</v>
      </c>
      <c r="H7" s="7">
        <f>('Benchmark Obbligazionario'!H6)*(1-0.2)-0.6</f>
        <v>6.800000000000006E-2</v>
      </c>
      <c r="I7" s="7">
        <f>('Benchmark Obbligazionario'!I6)*(1-0.2)-0.6</f>
        <v>6.0251999999999999</v>
      </c>
      <c r="J7" s="7">
        <f>('Benchmark Obbligazionario'!J6)*(1-0.2)-0.6</f>
        <v>2.4883999999999999</v>
      </c>
      <c r="K7" s="7">
        <f>('Benchmark Obbligazionario'!K6)*(1-0.2)-0.6</f>
        <v>8.680000000000021E-2</v>
      </c>
      <c r="L7" s="7">
        <f>('Benchmark Obbligazionario'!L6)*(1-0.2)-0.6</f>
        <v>-10.515600000000001</v>
      </c>
      <c r="M7" s="7">
        <f>('Benchmark Obbligazionario'!M6)*(1-0.2)-0.6</f>
        <v>3.8744000000000001</v>
      </c>
      <c r="N7" s="7">
        <f>('Benchmark Obbligazionario'!N6)*(1-0.2)-0.6</f>
        <v>2.6280000000000001</v>
      </c>
      <c r="O7" s="7">
        <f>('Benchmark Obbligazionario'!O6)*(1-0.2)-0.6</f>
        <v>0.3200000000000004</v>
      </c>
    </row>
    <row r="8" spans="1:15" x14ac:dyDescent="0.25">
      <c r="A8" t="s">
        <v>18</v>
      </c>
      <c r="M8" s="10">
        <v>2.87</v>
      </c>
      <c r="N8" s="10">
        <v>1.05</v>
      </c>
      <c r="O8" s="10">
        <v>2.0099999999999998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BCDD0-AFD9-433D-A74D-CFE08F34A457}">
  <dimension ref="A1:N4"/>
  <sheetViews>
    <sheetView workbookViewId="0">
      <selection activeCell="B4" sqref="B4:N4"/>
    </sheetView>
  </sheetViews>
  <sheetFormatPr defaultRowHeight="15" x14ac:dyDescent="0.25"/>
  <cols>
    <col min="1" max="1" width="41.28515625" bestFit="1" customWidth="1"/>
    <col min="2" max="2" width="5.5703125" bestFit="1" customWidth="1"/>
    <col min="3" max="3" width="5" bestFit="1" customWidth="1"/>
    <col min="4" max="4" width="5.28515625" bestFit="1" customWidth="1"/>
    <col min="5" max="5" width="5" bestFit="1" customWidth="1"/>
    <col min="6" max="6" width="5.28515625" bestFit="1" customWidth="1"/>
    <col min="7" max="7" width="6.28515625" bestFit="1" customWidth="1"/>
    <col min="8" max="8" width="5.5703125" bestFit="1" customWidth="1"/>
    <col min="9" max="9" width="5" bestFit="1" customWidth="1"/>
    <col min="10" max="10" width="5.5703125" bestFit="1" customWidth="1"/>
    <col min="11" max="11" width="6.28515625" bestFit="1" customWidth="1"/>
    <col min="12" max="13" width="5.5703125" bestFit="1" customWidth="1"/>
    <col min="14" max="14" width="5" bestFit="1" customWidth="1"/>
  </cols>
  <sheetData>
    <row r="1" spans="1:14" x14ac:dyDescent="0.25"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</row>
    <row r="2" spans="1:14" x14ac:dyDescent="0.25">
      <c r="A2" t="s">
        <v>24</v>
      </c>
      <c r="B2" s="5">
        <v>15.5472</v>
      </c>
      <c r="C2" s="5">
        <v>5.0031999999999996</v>
      </c>
      <c r="D2" s="5">
        <v>-1.4095999999999997</v>
      </c>
      <c r="E2" s="5">
        <v>1.9016000000000002</v>
      </c>
      <c r="F2" s="5">
        <v>7.3111999999999995</v>
      </c>
      <c r="G2" s="5">
        <v>-11.012</v>
      </c>
      <c r="H2" s="5">
        <v>15.8048</v>
      </c>
      <c r="I2" s="5">
        <v>3.3655999999999997</v>
      </c>
      <c r="J2" s="5">
        <v>15.720800000000001</v>
      </c>
      <c r="K2" s="5">
        <v>-17.623200000000001</v>
      </c>
      <c r="L2" s="5">
        <v>11.528800000000002</v>
      </c>
      <c r="M2" s="5">
        <v>12.772000000000002</v>
      </c>
      <c r="N2" s="5">
        <v>6.3327999999999989</v>
      </c>
    </row>
    <row r="3" spans="1:14" x14ac:dyDescent="0.25">
      <c r="A3" t="s">
        <v>25</v>
      </c>
      <c r="B3" s="5">
        <v>-1.4304000000000001</v>
      </c>
      <c r="C3" s="5">
        <v>8.18</v>
      </c>
      <c r="D3" s="5">
        <v>1.9079999999999999</v>
      </c>
      <c r="E3" s="5">
        <v>2.6831999999999994</v>
      </c>
      <c r="F3" s="5">
        <v>-1.1303999999999998</v>
      </c>
      <c r="G3" s="5">
        <v>6.800000000000006E-2</v>
      </c>
      <c r="H3" s="5">
        <v>6.0251999999999999</v>
      </c>
      <c r="I3" s="5">
        <v>2.4883999999999999</v>
      </c>
      <c r="J3" s="5">
        <v>8.680000000000021E-2</v>
      </c>
      <c r="K3" s="5">
        <v>-10.515600000000001</v>
      </c>
      <c r="L3" s="5">
        <v>3.8744000000000001</v>
      </c>
      <c r="M3" s="5">
        <v>2.6280000000000001</v>
      </c>
      <c r="N3" s="5">
        <v>0.3200000000000004</v>
      </c>
    </row>
    <row r="4" spans="1:14" x14ac:dyDescent="0.25">
      <c r="A4" s="6" t="s">
        <v>26</v>
      </c>
      <c r="B4" s="7">
        <f>(B2*0.3)+(B3*0.7)</f>
        <v>3.6628799999999999</v>
      </c>
      <c r="C4" s="7">
        <f t="shared" ref="C4:N4" si="0">(C2*0.3)+(C3*0.7)</f>
        <v>7.2269599999999992</v>
      </c>
      <c r="D4" s="7">
        <f t="shared" si="0"/>
        <v>0.91271999999999998</v>
      </c>
      <c r="E4" s="7">
        <f t="shared" si="0"/>
        <v>2.4487199999999993</v>
      </c>
      <c r="F4" s="7">
        <f t="shared" si="0"/>
        <v>1.4020799999999998</v>
      </c>
      <c r="G4" s="7">
        <f t="shared" si="0"/>
        <v>-3.2559999999999998</v>
      </c>
      <c r="H4" s="7">
        <f t="shared" si="0"/>
        <v>8.9590800000000002</v>
      </c>
      <c r="I4" s="7">
        <f t="shared" si="0"/>
        <v>2.7515599999999996</v>
      </c>
      <c r="J4" s="7">
        <f t="shared" si="0"/>
        <v>4.7770000000000001</v>
      </c>
      <c r="K4" s="7">
        <f t="shared" si="0"/>
        <v>-12.647880000000001</v>
      </c>
      <c r="L4" s="7">
        <f t="shared" si="0"/>
        <v>6.1707200000000002</v>
      </c>
      <c r="M4" s="7">
        <f t="shared" si="0"/>
        <v>5.6712000000000007</v>
      </c>
      <c r="N4" s="7">
        <f t="shared" si="0"/>
        <v>2.12384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F768B-BCBE-4BF0-B760-417DF0009A8D}">
  <dimension ref="A1:N4"/>
  <sheetViews>
    <sheetView workbookViewId="0">
      <selection activeCell="B4" sqref="B4:N4"/>
    </sheetView>
  </sheetViews>
  <sheetFormatPr defaultRowHeight="15" x14ac:dyDescent="0.25"/>
  <cols>
    <col min="1" max="1" width="41.28515625" bestFit="1" customWidth="1"/>
    <col min="2" max="2" width="5.5703125" bestFit="1" customWidth="1"/>
    <col min="3" max="3" width="5" bestFit="1" customWidth="1"/>
    <col min="4" max="4" width="5.28515625" bestFit="1" customWidth="1"/>
    <col min="5" max="5" width="5" bestFit="1" customWidth="1"/>
    <col min="6" max="6" width="5.28515625" bestFit="1" customWidth="1"/>
    <col min="7" max="7" width="6.28515625" bestFit="1" customWidth="1"/>
    <col min="8" max="8" width="5.5703125" bestFit="1" customWidth="1"/>
    <col min="9" max="9" width="5" bestFit="1" customWidth="1"/>
    <col min="10" max="10" width="5.5703125" bestFit="1" customWidth="1"/>
    <col min="11" max="11" width="6.28515625" bestFit="1" customWidth="1"/>
    <col min="12" max="13" width="5.5703125" bestFit="1" customWidth="1"/>
    <col min="14" max="14" width="5" bestFit="1" customWidth="1"/>
  </cols>
  <sheetData>
    <row r="1" spans="1:14" x14ac:dyDescent="0.25"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</row>
    <row r="2" spans="1:14" x14ac:dyDescent="0.25">
      <c r="A2" t="s">
        <v>24</v>
      </c>
      <c r="B2" s="5">
        <v>15.5472</v>
      </c>
      <c r="C2" s="5">
        <v>5.0031999999999996</v>
      </c>
      <c r="D2" s="5">
        <v>-1.4095999999999997</v>
      </c>
      <c r="E2" s="5">
        <v>1.9016000000000002</v>
      </c>
      <c r="F2" s="5">
        <v>7.3111999999999995</v>
      </c>
      <c r="G2" s="5">
        <v>-11.012</v>
      </c>
      <c r="H2" s="5">
        <v>15.8048</v>
      </c>
      <c r="I2" s="5">
        <v>3.3655999999999997</v>
      </c>
      <c r="J2" s="5">
        <v>15.720800000000001</v>
      </c>
      <c r="K2" s="5">
        <v>-17.623200000000001</v>
      </c>
      <c r="L2" s="5">
        <v>11.528800000000002</v>
      </c>
      <c r="M2" s="5">
        <v>12.772000000000002</v>
      </c>
      <c r="N2" s="5">
        <v>6.3327999999999989</v>
      </c>
    </row>
    <row r="3" spans="1:14" x14ac:dyDescent="0.25">
      <c r="A3" t="s">
        <v>25</v>
      </c>
      <c r="B3" s="5">
        <v>-1.4304000000000001</v>
      </c>
      <c r="C3" s="5">
        <v>8.18</v>
      </c>
      <c r="D3" s="5">
        <v>1.9079999999999999</v>
      </c>
      <c r="E3" s="5">
        <v>2.6831999999999994</v>
      </c>
      <c r="F3" s="5">
        <v>-1.1303999999999998</v>
      </c>
      <c r="G3" s="5">
        <v>6.800000000000006E-2</v>
      </c>
      <c r="H3" s="5">
        <v>6.0251999999999999</v>
      </c>
      <c r="I3" s="5">
        <v>2.4883999999999999</v>
      </c>
      <c r="J3" s="5">
        <v>8.680000000000021E-2</v>
      </c>
      <c r="K3" s="5">
        <v>-10.515600000000001</v>
      </c>
      <c r="L3" s="5">
        <v>3.8744000000000001</v>
      </c>
      <c r="M3" s="5">
        <v>2.6280000000000001</v>
      </c>
      <c r="N3" s="5">
        <v>0.3200000000000004</v>
      </c>
    </row>
    <row r="4" spans="1:14" x14ac:dyDescent="0.25">
      <c r="A4" s="6" t="s">
        <v>27</v>
      </c>
      <c r="B4" s="7">
        <f>(B2*0.5)+(B3*0.5)</f>
        <v>7.0583999999999998</v>
      </c>
      <c r="C4" s="7">
        <f t="shared" ref="C4:N4" si="0">(C2*0.5)+(C3*0.5)</f>
        <v>6.5915999999999997</v>
      </c>
      <c r="D4" s="7">
        <f t="shared" si="0"/>
        <v>0.24920000000000009</v>
      </c>
      <c r="E4" s="7">
        <f t="shared" si="0"/>
        <v>2.2923999999999998</v>
      </c>
      <c r="F4" s="7">
        <f t="shared" si="0"/>
        <v>3.0903999999999998</v>
      </c>
      <c r="G4" s="7">
        <f t="shared" si="0"/>
        <v>-5.4720000000000004</v>
      </c>
      <c r="H4" s="7">
        <f t="shared" si="0"/>
        <v>10.914999999999999</v>
      </c>
      <c r="I4" s="7">
        <f t="shared" si="0"/>
        <v>2.9269999999999996</v>
      </c>
      <c r="J4" s="7">
        <f t="shared" si="0"/>
        <v>7.9038000000000004</v>
      </c>
      <c r="K4" s="7">
        <f t="shared" si="0"/>
        <v>-14.069400000000002</v>
      </c>
      <c r="L4" s="7">
        <f t="shared" si="0"/>
        <v>7.7016000000000009</v>
      </c>
      <c r="M4" s="7">
        <f t="shared" si="0"/>
        <v>7.7000000000000011</v>
      </c>
      <c r="N4" s="7">
        <f t="shared" si="0"/>
        <v>3.3263999999999996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584D3-E207-469B-9A8E-4FA89F024078}">
  <dimension ref="A1:N4"/>
  <sheetViews>
    <sheetView workbookViewId="0">
      <selection activeCell="B4" sqref="B4:N4"/>
    </sheetView>
  </sheetViews>
  <sheetFormatPr defaultRowHeight="15" x14ac:dyDescent="0.25"/>
  <cols>
    <col min="1" max="1" width="41.28515625" bestFit="1" customWidth="1"/>
    <col min="2" max="2" width="5.5703125" bestFit="1" customWidth="1"/>
    <col min="3" max="3" width="5" bestFit="1" customWidth="1"/>
    <col min="4" max="4" width="5.28515625" bestFit="1" customWidth="1"/>
    <col min="5" max="5" width="5" bestFit="1" customWidth="1"/>
    <col min="6" max="6" width="5.28515625" bestFit="1" customWidth="1"/>
    <col min="7" max="7" width="6.28515625" bestFit="1" customWidth="1"/>
    <col min="8" max="8" width="5.5703125" bestFit="1" customWidth="1"/>
    <col min="9" max="9" width="5" bestFit="1" customWidth="1"/>
    <col min="10" max="10" width="5.5703125" bestFit="1" customWidth="1"/>
    <col min="11" max="11" width="6.28515625" bestFit="1" customWidth="1"/>
    <col min="12" max="13" width="5.5703125" bestFit="1" customWidth="1"/>
    <col min="14" max="14" width="5" bestFit="1" customWidth="1"/>
  </cols>
  <sheetData>
    <row r="1" spans="1:14" x14ac:dyDescent="0.25"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</row>
    <row r="2" spans="1:14" x14ac:dyDescent="0.25">
      <c r="A2" t="s">
        <v>24</v>
      </c>
      <c r="B2" s="5">
        <v>15.5472</v>
      </c>
      <c r="C2" s="5">
        <v>5.0031999999999996</v>
      </c>
      <c r="D2" s="5">
        <v>-1.4095999999999997</v>
      </c>
      <c r="E2" s="5">
        <v>1.9016000000000002</v>
      </c>
      <c r="F2" s="5">
        <v>7.3111999999999995</v>
      </c>
      <c r="G2" s="5">
        <v>-11.012</v>
      </c>
      <c r="H2" s="5">
        <v>15.8048</v>
      </c>
      <c r="I2" s="5">
        <v>3.3655999999999997</v>
      </c>
      <c r="J2" s="5">
        <v>15.720800000000001</v>
      </c>
      <c r="K2" s="5">
        <v>-17.623200000000001</v>
      </c>
      <c r="L2" s="5">
        <v>11.528800000000002</v>
      </c>
      <c r="M2" s="5">
        <v>12.772000000000002</v>
      </c>
      <c r="N2" s="5">
        <v>6.3327999999999989</v>
      </c>
    </row>
    <row r="3" spans="1:14" x14ac:dyDescent="0.25">
      <c r="A3" t="s">
        <v>25</v>
      </c>
      <c r="B3" s="5">
        <v>-1.4304000000000001</v>
      </c>
      <c r="C3" s="5">
        <v>8.18</v>
      </c>
      <c r="D3" s="5">
        <v>1.9079999999999999</v>
      </c>
      <c r="E3" s="5">
        <v>2.6831999999999994</v>
      </c>
      <c r="F3" s="5">
        <v>-1.1303999999999998</v>
      </c>
      <c r="G3" s="5">
        <v>6.800000000000006E-2</v>
      </c>
      <c r="H3" s="5">
        <v>6.0251999999999999</v>
      </c>
      <c r="I3" s="5">
        <v>2.4883999999999999</v>
      </c>
      <c r="J3" s="5">
        <v>8.680000000000021E-2</v>
      </c>
      <c r="K3" s="5">
        <v>-10.515600000000001</v>
      </c>
      <c r="L3" s="5">
        <v>3.8744000000000001</v>
      </c>
      <c r="M3" s="5">
        <v>2.6280000000000001</v>
      </c>
      <c r="N3" s="5">
        <v>0.3200000000000004</v>
      </c>
    </row>
    <row r="4" spans="1:14" x14ac:dyDescent="0.25">
      <c r="A4" s="6" t="s">
        <v>28</v>
      </c>
      <c r="B4" s="7">
        <f>(B2*0.8)+(B3*0.3)</f>
        <v>12.008640000000002</v>
      </c>
      <c r="C4" s="7">
        <f t="shared" ref="C4:N4" si="0">(C2*0.8)+(C3*0.3)</f>
        <v>6.4565599999999996</v>
      </c>
      <c r="D4" s="7">
        <f t="shared" si="0"/>
        <v>-0.55527999999999988</v>
      </c>
      <c r="E4" s="7">
        <f t="shared" si="0"/>
        <v>2.3262399999999999</v>
      </c>
      <c r="F4" s="7">
        <f t="shared" si="0"/>
        <v>5.5098399999999996</v>
      </c>
      <c r="G4" s="7">
        <f t="shared" si="0"/>
        <v>-8.789200000000001</v>
      </c>
      <c r="H4" s="7">
        <f t="shared" si="0"/>
        <v>14.451400000000001</v>
      </c>
      <c r="I4" s="7">
        <f t="shared" si="0"/>
        <v>3.4389999999999996</v>
      </c>
      <c r="J4" s="7">
        <f t="shared" si="0"/>
        <v>12.602680000000001</v>
      </c>
      <c r="K4" s="7">
        <f t="shared" si="0"/>
        <v>-17.253240000000002</v>
      </c>
      <c r="L4" s="7">
        <f t="shared" si="0"/>
        <v>10.385360000000002</v>
      </c>
      <c r="M4" s="7">
        <f t="shared" si="0"/>
        <v>11.006000000000002</v>
      </c>
      <c r="N4" s="7">
        <f t="shared" si="0"/>
        <v>5.1622399999999997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4BA0C-09D6-4063-A1C1-2D11BEDB2D5B}">
  <dimension ref="A1:O6"/>
  <sheetViews>
    <sheetView tabSelected="1" workbookViewId="0">
      <selection activeCell="K14" sqref="K14"/>
    </sheetView>
  </sheetViews>
  <sheetFormatPr defaultRowHeight="15" x14ac:dyDescent="0.25"/>
  <cols>
    <col min="1" max="1" width="24.42578125" bestFit="1" customWidth="1"/>
    <col min="2" max="2" width="5.5703125" bestFit="1" customWidth="1"/>
    <col min="3" max="3" width="5" bestFit="1" customWidth="1"/>
    <col min="4" max="4" width="5.28515625" bestFit="1" customWidth="1"/>
    <col min="5" max="5" width="5" bestFit="1" customWidth="1"/>
    <col min="6" max="6" width="5.28515625" bestFit="1" customWidth="1"/>
    <col min="7" max="7" width="6.28515625" bestFit="1" customWidth="1"/>
    <col min="8" max="8" width="5.5703125" bestFit="1" customWidth="1"/>
    <col min="9" max="9" width="5" bestFit="1" customWidth="1"/>
    <col min="10" max="10" width="5.5703125" bestFit="1" customWidth="1"/>
    <col min="11" max="11" width="6.28515625" bestFit="1" customWidth="1"/>
    <col min="12" max="13" width="5.5703125" bestFit="1" customWidth="1"/>
    <col min="14" max="14" width="5" bestFit="1" customWidth="1"/>
    <col min="15" max="15" width="17.85546875" bestFit="1" customWidth="1"/>
  </cols>
  <sheetData>
    <row r="1" spans="1:15" x14ac:dyDescent="0.25"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 s="6" t="s">
        <v>34</v>
      </c>
    </row>
    <row r="2" spans="1:15" x14ac:dyDescent="0.25">
      <c r="A2" s="13" t="s">
        <v>29</v>
      </c>
      <c r="B2" s="5">
        <v>15.5472</v>
      </c>
      <c r="C2" s="5">
        <v>5.0031999999999996</v>
      </c>
      <c r="D2" s="5">
        <v>-1.4095999999999997</v>
      </c>
      <c r="E2" s="5">
        <v>1.9016000000000002</v>
      </c>
      <c r="F2" s="5">
        <v>7.3111999999999995</v>
      </c>
      <c r="G2" s="5">
        <v>-11.012</v>
      </c>
      <c r="H2" s="5">
        <v>15.8048</v>
      </c>
      <c r="I2" s="5">
        <v>3.3655999999999997</v>
      </c>
      <c r="J2" s="5">
        <v>15.720800000000001</v>
      </c>
      <c r="K2" s="5">
        <v>-17.623200000000001</v>
      </c>
      <c r="L2" s="5">
        <v>11.528800000000002</v>
      </c>
      <c r="M2" s="5">
        <v>12.772000000000002</v>
      </c>
      <c r="N2" s="5">
        <v>6.3327999999999989</v>
      </c>
      <c r="O2" s="12">
        <f>AVERAGE(B2:N2)</f>
        <v>5.0187076923076921</v>
      </c>
    </row>
    <row r="3" spans="1:15" x14ac:dyDescent="0.25">
      <c r="A3" t="s">
        <v>30</v>
      </c>
      <c r="B3" s="5">
        <v>-1.4304000000000001</v>
      </c>
      <c r="C3" s="5">
        <v>8.18</v>
      </c>
      <c r="D3" s="5">
        <v>1.9079999999999999</v>
      </c>
      <c r="E3" s="5">
        <v>2.6831999999999994</v>
      </c>
      <c r="F3" s="5">
        <v>-1.1303999999999998</v>
      </c>
      <c r="G3" s="5">
        <v>6.800000000000006E-2</v>
      </c>
      <c r="H3" s="5">
        <v>6.0251999999999999</v>
      </c>
      <c r="I3" s="5">
        <v>2.4883999999999999</v>
      </c>
      <c r="J3" s="5">
        <v>8.680000000000021E-2</v>
      </c>
      <c r="K3" s="5">
        <v>-10.515600000000001</v>
      </c>
      <c r="L3" s="5">
        <v>3.8744000000000001</v>
      </c>
      <c r="M3" s="5">
        <v>2.6280000000000001</v>
      </c>
      <c r="N3" s="5">
        <v>0.3200000000000004</v>
      </c>
      <c r="O3" s="12">
        <f t="shared" ref="O3:O6" si="0">AVERAGE(B3:N3)</f>
        <v>1.1681230769230764</v>
      </c>
    </row>
    <row r="4" spans="1:15" x14ac:dyDescent="0.25">
      <c r="A4" t="s">
        <v>31</v>
      </c>
      <c r="B4" s="5">
        <v>3.6628799999999999</v>
      </c>
      <c r="C4" s="5">
        <v>7.2269599999999992</v>
      </c>
      <c r="D4" s="5">
        <v>0.91271999999999998</v>
      </c>
      <c r="E4" s="5">
        <v>2.4487199999999993</v>
      </c>
      <c r="F4" s="5">
        <v>1.4020799999999998</v>
      </c>
      <c r="G4" s="5">
        <v>-3.2559999999999998</v>
      </c>
      <c r="H4" s="5">
        <v>8.9590800000000002</v>
      </c>
      <c r="I4" s="5">
        <v>2.7515599999999996</v>
      </c>
      <c r="J4" s="5">
        <v>4.7770000000000001</v>
      </c>
      <c r="K4" s="5">
        <v>-12.647880000000001</v>
      </c>
      <c r="L4" s="5">
        <v>6.1707200000000002</v>
      </c>
      <c r="M4" s="5">
        <v>5.6712000000000007</v>
      </c>
      <c r="N4" s="5">
        <v>2.12384</v>
      </c>
      <c r="O4" s="12">
        <f t="shared" si="0"/>
        <v>2.3232984615384615</v>
      </c>
    </row>
    <row r="5" spans="1:15" x14ac:dyDescent="0.25">
      <c r="A5" t="s">
        <v>32</v>
      </c>
      <c r="B5" s="5">
        <v>7.0583999999999998</v>
      </c>
      <c r="C5" s="5">
        <v>6.5915999999999997</v>
      </c>
      <c r="D5" s="5">
        <v>0.24920000000000009</v>
      </c>
      <c r="E5" s="5">
        <v>2.2923999999999998</v>
      </c>
      <c r="F5" s="5">
        <v>3.0903999999999998</v>
      </c>
      <c r="G5" s="5">
        <v>-5.4720000000000004</v>
      </c>
      <c r="H5" s="5">
        <v>10.914999999999999</v>
      </c>
      <c r="I5" s="5">
        <v>2.9269999999999996</v>
      </c>
      <c r="J5" s="5">
        <v>7.9038000000000004</v>
      </c>
      <c r="K5" s="5">
        <v>-14.069400000000002</v>
      </c>
      <c r="L5" s="5">
        <v>7.7016000000000009</v>
      </c>
      <c r="M5" s="5">
        <v>7.7000000000000011</v>
      </c>
      <c r="N5" s="5">
        <v>3.3263999999999996</v>
      </c>
      <c r="O5" s="12">
        <f t="shared" si="0"/>
        <v>3.0934153846153838</v>
      </c>
    </row>
    <row r="6" spans="1:15" x14ac:dyDescent="0.25">
      <c r="A6" t="s">
        <v>33</v>
      </c>
      <c r="B6" s="5">
        <v>12.008640000000002</v>
      </c>
      <c r="C6" s="5">
        <v>6.4565599999999996</v>
      </c>
      <c r="D6" s="5">
        <v>-0.55527999999999988</v>
      </c>
      <c r="E6" s="5">
        <v>2.3262399999999999</v>
      </c>
      <c r="F6" s="5">
        <v>5.5098399999999996</v>
      </c>
      <c r="G6" s="5">
        <v>-8.789200000000001</v>
      </c>
      <c r="H6" s="5">
        <v>14.451400000000001</v>
      </c>
      <c r="I6" s="5">
        <v>3.4389999999999996</v>
      </c>
      <c r="J6" s="5">
        <v>12.602680000000001</v>
      </c>
      <c r="K6" s="5">
        <v>-17.253240000000002</v>
      </c>
      <c r="L6" s="5">
        <v>10.385360000000002</v>
      </c>
      <c r="M6" s="5">
        <v>11.006000000000002</v>
      </c>
      <c r="N6" s="5">
        <v>5.1622399999999997</v>
      </c>
      <c r="O6" s="12">
        <f t="shared" si="0"/>
        <v>4.3654030769230765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Costi di Gestione</vt:lpstr>
      <vt:lpstr>Benchmark Azionario</vt:lpstr>
      <vt:lpstr>Benchmark Obbligazionario</vt:lpstr>
      <vt:lpstr>Bilanciato Prudente</vt:lpstr>
      <vt:lpstr>Bilanciato Crescita</vt:lpstr>
      <vt:lpstr>Bilanciato Dinamico</vt:lpstr>
      <vt:lpstr>Tabella rendimenti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Mariniello Giuseppe - MAR</dc:creator>
  <cp:lastModifiedBy>Mariniello Giuseppe - MAR</cp:lastModifiedBy>
  <dcterms:created xsi:type="dcterms:W3CDTF">2026-07-13T09:11:55Z</dcterms:created>
  <dcterms:modified xsi:type="dcterms:W3CDTF">2026-07-13T11:55:20Z</dcterms:modified>
</cp:coreProperties>
</file>